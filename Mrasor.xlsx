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W:\NEWS-Server\NEW-SERVER\21. IDENTIFIKIMI I PRONAVE\SKENIMET\Skanime Gjakove Dollc\Gjakovë - Dollc Segmenti Mrasor-Rahovec\"/>
    </mc:Choice>
  </mc:AlternateContent>
  <xr:revisionPtr revIDLastSave="0" documentId="13_ncr:1_{F8B821E1-ECD5-4CBC-80B5-EA9A3681D9C4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4" i="1" l="1"/>
  <c r="F32" i="1"/>
  <c r="G22" i="1"/>
  <c r="G23" i="1"/>
  <c r="F18" i="1"/>
</calcChain>
</file>

<file path=xl/sharedStrings.xml><?xml version="1.0" encoding="utf-8"?>
<sst xmlns="http://schemas.openxmlformats.org/spreadsheetml/2006/main" count="285" uniqueCount="123">
  <si>
    <t>Zona Kadastrale</t>
  </si>
  <si>
    <t>Dokumenti</t>
  </si>
  <si>
    <t>Mrasor</t>
  </si>
  <si>
    <t>Shpronesimi i vitit 1978-Rr Gjakove-Dollc</t>
  </si>
  <si>
    <t>258-0</t>
  </si>
  <si>
    <t>258-1</t>
  </si>
  <si>
    <t>Nr parceles ne procesverbal 1978</t>
  </si>
  <si>
    <t>Nr e parceles 2026</t>
  </si>
  <si>
    <t>Burimi i Dokumentit</t>
  </si>
  <si>
    <t>Komente</t>
  </si>
  <si>
    <t>Siperfaqja 2026 (grafike) m2</t>
  </si>
  <si>
    <t>Siperfaqja e shpronesuar m2</t>
  </si>
  <si>
    <t>Siperfaqja ne vitin 1978 (m2)</t>
  </si>
  <si>
    <t>260-0</t>
  </si>
  <si>
    <t>260-1</t>
  </si>
  <si>
    <t>260-2</t>
  </si>
  <si>
    <t>Parcela ne Dokumentacionin e shpronesimit te vitit 1978 ka qene e pandare,parcela ne gjendjen tash te vitit 2026 eshte e ndare ne 2 pjese ne grafik,ku me ndarjet e reja te dy parcelat perfshihen ne shpronesim nga linjat e shpronesimit parcela 260-1 siperfaqe 104 m2,dhe parcela 260-2 siperfaqe 818 m2</t>
  </si>
  <si>
    <t>261-0</t>
  </si>
  <si>
    <t>Komuna e Rahovecit-Drejtoria për Gjeodezi,Kadastër dhe Pronë</t>
  </si>
  <si>
    <t>Sipas linjes se shpronesimit siperfaqja qe shpronesohet eshte 183m2</t>
  </si>
  <si>
    <t>Pronari sipas dokumenatcionit 1978</t>
  </si>
  <si>
    <t>Tahir Ali Mrasoraj</t>
  </si>
  <si>
    <t>Parcela ne Dokumentacionin e shpronesimit te vitit 1978 ka qene e pandare,parcela ne gjendjen tash te vitit 2026 eshte e ndare ne 4 pjese,ku me ndarjet e reja vetem parcela me nr 258-1 perfshihet ne shpronesim.Nga linja e shpronesimit siperfaqja qe shpronesohet eshte 658 m2</t>
  </si>
  <si>
    <t>Lenda Tahir Ali Mrasoraj Nr.148-78 ZK Mrasor KK Rahovec,parcelat kadastrale 258-0,260-0,261-0.pdf</t>
  </si>
  <si>
    <t>Numri rendor</t>
  </si>
  <si>
    <t>268-0</t>
  </si>
  <si>
    <t>Haxhi Danë Mrasoraj</t>
  </si>
  <si>
    <t>269-0</t>
  </si>
  <si>
    <t>247-0</t>
  </si>
  <si>
    <t>Sipas linjes se shpronesimit siperfaqja qe shpronesohet eshte 60m2</t>
  </si>
  <si>
    <t>Sipas linjes se shpronesimit siperfaqja qe shpronesohet eshte 2380m2</t>
  </si>
  <si>
    <t>Salih Haxhi Mrasoraj</t>
  </si>
  <si>
    <t>Lenda Haxhi Dane Mrasoraj Nr.149-78 ZK Mrasor KK Rahovec,parcelat kadastrale 268-0,269-0 dhe 247-0.pdf</t>
  </si>
  <si>
    <t>425-0</t>
  </si>
  <si>
    <t xml:space="preserve">Sipas linjes se shpronesimit siperfaqja qe shpronesohet eshte </t>
  </si>
  <si>
    <t>Sipas linjes se shpronesimit siperfaqja qe shpronesohet eshte 197m2</t>
  </si>
  <si>
    <t>254-0</t>
  </si>
  <si>
    <t>255-0</t>
  </si>
  <si>
    <t>Zenel Ali Mrasoraj</t>
  </si>
  <si>
    <t>Sipas linjes se shpronesimit siperfaqja qe shpronesohet eshte 255m2</t>
  </si>
  <si>
    <t>Sipas linjes se shpronesimit siperfaqja qe shpronesohet eshte 289m2</t>
  </si>
  <si>
    <t>Lenda Zenel Ali Mrasoraj Nr.147-78 ZK Mrasor KK Rahovec,parcelat kadastrale 254-0,255-0</t>
  </si>
  <si>
    <t>264-0</t>
  </si>
  <si>
    <t>265-0</t>
  </si>
  <si>
    <t>Rrusta Bajram Mrasoraj</t>
  </si>
  <si>
    <t>Sipas linjes se shpronesimit siperfaqja qe shpronesohet eshte 389m2</t>
  </si>
  <si>
    <t xml:space="preserve">E gjithe parcela shpronesohet </t>
  </si>
  <si>
    <t>Lenda Rrusta Bajram Mrasoraj Nr.150-78 ZK Mrasor KK Rahovec,parcelat kadastrale 264-0,265-0</t>
  </si>
  <si>
    <t>230-0</t>
  </si>
  <si>
    <t>229-0</t>
  </si>
  <si>
    <t>239-0</t>
  </si>
  <si>
    <t>379-0</t>
  </si>
  <si>
    <t>Sipas linjes se shpronesimit siperfaqja qe shpronesohet eshte 1641m2</t>
  </si>
  <si>
    <t>Lenda Rrusta Bajram Mrasoraj Nr.150-78 ZK Mrasor KK Rahovec,parcelat kadastrale 264-0,265-1</t>
  </si>
  <si>
    <t>Lenda Rrusta Bajram Mrasoraj Nr.150-78 ZK Mrasor KK Rahovec,parcelat kadastrale 264-0,265-2</t>
  </si>
  <si>
    <t>Lenda Rrusta Bajram Mrasoraj Nr.150-78 ZK Mrasor KK Rahovec,parcelat kadastrale 264-0,265-3</t>
  </si>
  <si>
    <t>Lenda Rrusta Bajram Mrasoraj Nr.150-78 ZK Mrasor KK Rahovec,parcelat kadastrale 264-0,265-4</t>
  </si>
  <si>
    <t>380-0</t>
  </si>
  <si>
    <t>Lenda Rrusta Bajram Mrasoraj Nr.150-78 ZK Mrasor KK Rahovec,parcelat kadastrale 264-0,265-5</t>
  </si>
  <si>
    <t>Sipas linjes se shpronesimit siperfaqja qe shpronesohet eshte 293m2</t>
  </si>
  <si>
    <t>Sipas linjes se shpronesimit siperfaqja qe shpronesohet eshte 1788m2</t>
  </si>
  <si>
    <t>Sipas linjes se shpronesimit siperfaqja qe shpronesohet eshte 1006m2</t>
  </si>
  <si>
    <t>Sipas linjes se shpronesimit siperfaqja qe shpronesohet eshte 325m2</t>
  </si>
  <si>
    <t>267-1</t>
  </si>
  <si>
    <t>Amrush Halil Avdyli</t>
  </si>
  <si>
    <t>Sipas linjes se shpronesimit siperfaqja qe shpronesohet eshte 1947 m2</t>
  </si>
  <si>
    <t>241-2</t>
  </si>
  <si>
    <t>238-0</t>
  </si>
  <si>
    <t>376-0</t>
  </si>
  <si>
    <t>417-0</t>
  </si>
  <si>
    <t>Sipas linjes se shpronesimit siperfaqja qe shpronesohet eshte 311 m2</t>
  </si>
  <si>
    <t>376-5</t>
  </si>
  <si>
    <t>Parcela ne Dokumentacionin e shpronesimit te vitit 1978 ka qene e pandare,parcela ne gjendjen tash te vitit 2026 eshte e ndare ne 5 pjese ne grafik,ku me ndarjet e reja vetem parcela me nr 376-5 perfshihet ne baze te linjes se shpronesimit shpronesohet e gjitha me siperfaqe 1471 m2</t>
  </si>
  <si>
    <t>Lenda Amrush Halil Avdyli Nr 151-78 ZK Mrasor KK Rahovec,parcelat kadastrale 267-1.pdf</t>
  </si>
  <si>
    <t>238-3</t>
  </si>
  <si>
    <t>Parcela ne Dokumentacionin e shpronesimit te vitit 1978 ka qene e pandare,parcela ne gjendjen tash te vitit 2026 eshte e ndare ne 3 pjese ne grafik,ku me ndarjet e reja vetem parcela me nr 238-3 perfshihet ne baze te linjes se shpronesimit shpronesohet e gjitha me siperfaqe 306 m2</t>
  </si>
  <si>
    <t>2-0</t>
  </si>
  <si>
    <t>1-0</t>
  </si>
  <si>
    <t>Qazim Cakë Berisha</t>
  </si>
  <si>
    <t>Sipas linjes se shpronesimit siperfaqja qe shpronesohet eshte 395m2</t>
  </si>
  <si>
    <t>Isuf Ukë Berisha.</t>
  </si>
  <si>
    <t>1-3</t>
  </si>
  <si>
    <t>Sipas linjes se shpronesimit siperfaqja qe shpronesohet eshte 1097m2</t>
  </si>
  <si>
    <t>Lenda Isuf Ukë Berisha Nr.153-72 ZK Mrasor KK Rahovec,parcelat kadastrale 1-0.pdf</t>
  </si>
  <si>
    <t>Lenda Qazim Cake Berisha Nr.152-72 ZK Mrasor KK Rahovec,parcelat kadastrale 2-0.pdf</t>
  </si>
  <si>
    <t>509-0</t>
  </si>
  <si>
    <t>Ndërrmarrja transportuese hekurudhore Beograd</t>
  </si>
  <si>
    <t>Lenda Ndërrmarrja transportuese hekurudhore Beograd Nr.155-78 ZK Mrasor KK Rahovec,parcela kadastrale 509-0.pdf</t>
  </si>
  <si>
    <t>10-0</t>
  </si>
  <si>
    <t>8-0</t>
  </si>
  <si>
    <t>9-0</t>
  </si>
  <si>
    <t>15-0</t>
  </si>
  <si>
    <t>14-0</t>
  </si>
  <si>
    <t>94-0</t>
  </si>
  <si>
    <t>95-0</t>
  </si>
  <si>
    <t>96-0</t>
  </si>
  <si>
    <t>99-0</t>
  </si>
  <si>
    <t>82-0</t>
  </si>
  <si>
    <t>262-0</t>
  </si>
  <si>
    <t>342-0</t>
  </si>
  <si>
    <t>421-0</t>
  </si>
  <si>
    <t>420-0</t>
  </si>
  <si>
    <t>Ndërmarrja mbi ekonominë e pyjeve "Koritnik" në Rahovec</t>
  </si>
  <si>
    <t>Lenda Ndërmarrja mbi ekonominë e pyjeve "Koritnik" në Rahovec Nr.156.78 ZK Mrasor KK Rahovec,parcelat kadastrale 8-0,9-0,10-0 etc.pdf</t>
  </si>
  <si>
    <t>Sipas linjes se shpronesimit siperfaqja qe shpronesohet eshte 1722 m2</t>
  </si>
  <si>
    <t>Sipas linjes se shpronesimit siperfaqja qe shpronesohet eshte 1883 m2</t>
  </si>
  <si>
    <t>Sipas linjes se shpronesimit siperfaqja qe shpronesohet eshte 8702 m2</t>
  </si>
  <si>
    <t>Sipas linjes se shpronesimit siperfaqja qe shpronesohet eshte 3048m2</t>
  </si>
  <si>
    <t>Sipas linjes se shpronesimit siperfaqja qe shpronesohet eshte 321m2</t>
  </si>
  <si>
    <t>Sipas linjes se shpronesimit siperfaqja qe shpronesohet eshte 610m2</t>
  </si>
  <si>
    <t>Sipas linjes se shpronesimit siperfaqja qe shpronesohet eshte 375m2</t>
  </si>
  <si>
    <t>Sipas linjes se shpronesimit siperfaqja qe shpronesohet eshte 216m2</t>
  </si>
  <si>
    <t>Sipas linjes se shpronesimit siperfaqja qe shpronesohet eshte 478m2</t>
  </si>
  <si>
    <t>Sipas linjes se shpronesimit siperfaqja qe shpronesohet eshte 1932m2</t>
  </si>
  <si>
    <t>Sipas linjes se shpronesimit siperfaqja qe shpronesohet eshte 1655m2</t>
  </si>
  <si>
    <t>Sipas linjes se shpronesimit siperfaqja qe shpronesohet eshte 3267m2</t>
  </si>
  <si>
    <t>Sipas linjes se shpronesimit siperfaqja qe shpronesohet eshte 425m2</t>
  </si>
  <si>
    <t>Sipas linjes se shpronesimit siperfaqja qe shpronesohet eshte 1710m2</t>
  </si>
  <si>
    <t>511-2</t>
  </si>
  <si>
    <t>511-3</t>
  </si>
  <si>
    <t>511-4</t>
  </si>
  <si>
    <t>516-0</t>
  </si>
  <si>
    <t>511-1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</si>
</sst>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1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6" fillId="0" borderId="16" xfId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/>
    </xf>
    <xf numFmtId="49" fontId="3" fillId="0" borderId="16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49" fontId="3" fillId="0" borderId="23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../Gjakov&#195;&#171;%20-%20Dollc%20Segmenti%20Mrasor-Rahovec/2026051808531036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54"/>
  <sheetViews>
    <sheetView tabSelected="1" topLeftCell="A33" zoomScale="91" zoomScaleNormal="91" workbookViewId="0">
      <selection activeCell="E47" sqref="E47"/>
    </sheetView>
  </sheetViews>
  <sheetFormatPr defaultRowHeight="15" x14ac:dyDescent="0.25"/>
  <cols>
    <col min="2" max="2" width="15.28515625" customWidth="1"/>
    <col min="3" max="3" width="19.7109375" style="2" customWidth="1"/>
    <col min="4" max="4" width="35.140625" style="2" customWidth="1"/>
    <col min="5" max="5" width="29.42578125" style="2" customWidth="1"/>
    <col min="6" max="6" width="30" style="2" customWidth="1"/>
    <col min="7" max="7" width="27" style="2" customWidth="1"/>
    <col min="8" max="8" width="28.85546875" style="2" customWidth="1"/>
    <col min="9" max="9" width="37" style="2" customWidth="1"/>
    <col min="10" max="10" width="49.5703125" style="2" customWidth="1"/>
    <col min="11" max="12" width="37.140625" style="1" customWidth="1"/>
  </cols>
  <sheetData>
    <row r="1" spans="2:13" ht="15.75" thickBot="1" x14ac:dyDescent="0.3"/>
    <row r="2" spans="2:13" ht="16.5" thickBot="1" x14ac:dyDescent="0.3">
      <c r="B2" s="46" t="s">
        <v>3</v>
      </c>
      <c r="C2" s="47"/>
      <c r="D2" s="47"/>
      <c r="E2" s="47"/>
      <c r="F2" s="47"/>
      <c r="G2" s="47"/>
      <c r="H2" s="47"/>
      <c r="I2" s="47"/>
      <c r="J2" s="47"/>
      <c r="K2" s="47"/>
      <c r="L2" s="48"/>
    </row>
    <row r="3" spans="2:13" ht="16.5" thickBot="1" x14ac:dyDescent="0.3">
      <c r="B3" s="33" t="s">
        <v>24</v>
      </c>
      <c r="C3" s="23" t="s">
        <v>0</v>
      </c>
      <c r="D3" s="24" t="s">
        <v>6</v>
      </c>
      <c r="E3" s="24" t="s">
        <v>7</v>
      </c>
      <c r="F3" s="24" t="s">
        <v>12</v>
      </c>
      <c r="G3" s="24" t="s">
        <v>11</v>
      </c>
      <c r="H3" s="24" t="s">
        <v>10</v>
      </c>
      <c r="I3" s="24" t="s">
        <v>20</v>
      </c>
      <c r="J3" s="24" t="s">
        <v>1</v>
      </c>
      <c r="K3" s="24" t="s">
        <v>8</v>
      </c>
      <c r="L3" s="25" t="s">
        <v>9</v>
      </c>
    </row>
    <row r="4" spans="2:13" s="4" customFormat="1" ht="120.75" thickBot="1" x14ac:dyDescent="0.3">
      <c r="B4" s="15">
        <v>1</v>
      </c>
      <c r="C4" s="22" t="s">
        <v>2</v>
      </c>
      <c r="D4" s="16" t="s">
        <v>4</v>
      </c>
      <c r="E4" s="16" t="s">
        <v>5</v>
      </c>
      <c r="F4" s="16">
        <v>8777</v>
      </c>
      <c r="G4" s="16">
        <v>860</v>
      </c>
      <c r="H4" s="16">
        <v>1252</v>
      </c>
      <c r="I4" s="16" t="s">
        <v>21</v>
      </c>
      <c r="J4" s="31" t="s">
        <v>23</v>
      </c>
      <c r="K4" s="17" t="s">
        <v>18</v>
      </c>
      <c r="L4" s="18" t="s">
        <v>22</v>
      </c>
    </row>
    <row r="5" spans="2:13" s="4" customFormat="1" ht="61.5" customHeight="1" x14ac:dyDescent="0.25">
      <c r="B5" s="49">
        <v>2</v>
      </c>
      <c r="C5" s="57" t="s">
        <v>2</v>
      </c>
      <c r="D5" s="59" t="s">
        <v>13</v>
      </c>
      <c r="E5" s="7" t="s">
        <v>14</v>
      </c>
      <c r="F5" s="59">
        <v>3635</v>
      </c>
      <c r="G5" s="59">
        <v>14.5</v>
      </c>
      <c r="H5" s="7">
        <v>1280</v>
      </c>
      <c r="I5" s="59" t="s">
        <v>21</v>
      </c>
      <c r="J5" s="51" t="s">
        <v>23</v>
      </c>
      <c r="K5" s="53" t="s">
        <v>18</v>
      </c>
      <c r="L5" s="55" t="s">
        <v>16</v>
      </c>
    </row>
    <row r="6" spans="2:13" s="4" customFormat="1" ht="61.5" customHeight="1" thickBot="1" x14ac:dyDescent="0.3">
      <c r="B6" s="50"/>
      <c r="C6" s="58"/>
      <c r="D6" s="60"/>
      <c r="E6" s="9" t="s">
        <v>15</v>
      </c>
      <c r="F6" s="60"/>
      <c r="G6" s="60"/>
      <c r="H6" s="9">
        <v>1113</v>
      </c>
      <c r="I6" s="60"/>
      <c r="J6" s="52"/>
      <c r="K6" s="54"/>
      <c r="L6" s="56"/>
    </row>
    <row r="7" spans="2:13" s="4" customFormat="1" ht="32.25" thickBot="1" x14ac:dyDescent="0.3">
      <c r="B7" s="15">
        <v>3</v>
      </c>
      <c r="C7" s="22" t="s">
        <v>2</v>
      </c>
      <c r="D7" s="16" t="s">
        <v>17</v>
      </c>
      <c r="E7" s="16" t="s">
        <v>17</v>
      </c>
      <c r="F7" s="16">
        <v>3126</v>
      </c>
      <c r="G7" s="16">
        <v>275</v>
      </c>
      <c r="H7" s="16">
        <v>3121</v>
      </c>
      <c r="I7" s="16" t="s">
        <v>21</v>
      </c>
      <c r="J7" s="28" t="s">
        <v>23</v>
      </c>
      <c r="K7" s="17" t="s">
        <v>18</v>
      </c>
      <c r="L7" s="18" t="s">
        <v>19</v>
      </c>
    </row>
    <row r="8" spans="2:13" s="19" customFormat="1" ht="48" thickBot="1" x14ac:dyDescent="0.3">
      <c r="B8" s="15">
        <v>4</v>
      </c>
      <c r="C8" s="22" t="s">
        <v>2</v>
      </c>
      <c r="D8" s="16" t="s">
        <v>25</v>
      </c>
      <c r="E8" s="16" t="s">
        <v>25</v>
      </c>
      <c r="F8" s="16">
        <v>962</v>
      </c>
      <c r="G8" s="16">
        <v>20</v>
      </c>
      <c r="H8" s="16">
        <v>979</v>
      </c>
      <c r="I8" s="16" t="s">
        <v>26</v>
      </c>
      <c r="J8" s="28" t="s">
        <v>32</v>
      </c>
      <c r="K8" s="17" t="s">
        <v>18</v>
      </c>
      <c r="L8" s="18" t="s">
        <v>29</v>
      </c>
    </row>
    <row r="9" spans="2:13" s="4" customFormat="1" ht="48" thickBot="1" x14ac:dyDescent="0.3">
      <c r="B9" s="15">
        <v>5</v>
      </c>
      <c r="C9" s="22" t="s">
        <v>2</v>
      </c>
      <c r="D9" s="16" t="s">
        <v>27</v>
      </c>
      <c r="E9" s="16" t="s">
        <v>27</v>
      </c>
      <c r="F9" s="16">
        <v>5293</v>
      </c>
      <c r="G9" s="16">
        <v>2430</v>
      </c>
      <c r="H9" s="16">
        <v>5316</v>
      </c>
      <c r="I9" s="16" t="s">
        <v>26</v>
      </c>
      <c r="J9" s="28" t="s">
        <v>32</v>
      </c>
      <c r="K9" s="17" t="s">
        <v>18</v>
      </c>
      <c r="L9" s="18" t="s">
        <v>30</v>
      </c>
      <c r="M9" s="27"/>
    </row>
    <row r="10" spans="2:13" s="19" customFormat="1" ht="48" thickBot="1" x14ac:dyDescent="0.3">
      <c r="B10" s="15">
        <v>6</v>
      </c>
      <c r="C10" s="22" t="s">
        <v>2</v>
      </c>
      <c r="D10" s="16" t="s">
        <v>28</v>
      </c>
      <c r="E10" s="16" t="s">
        <v>28</v>
      </c>
      <c r="F10" s="16">
        <v>9196</v>
      </c>
      <c r="G10" s="16">
        <v>415</v>
      </c>
      <c r="H10" s="16">
        <v>9977</v>
      </c>
      <c r="I10" s="16" t="s">
        <v>31</v>
      </c>
      <c r="J10" s="28" t="s">
        <v>32</v>
      </c>
      <c r="K10" s="17" t="s">
        <v>18</v>
      </c>
      <c r="L10" s="18" t="s">
        <v>34</v>
      </c>
    </row>
    <row r="11" spans="2:13" s="4" customFormat="1" ht="48" thickBot="1" x14ac:dyDescent="0.3">
      <c r="B11" s="15">
        <v>7</v>
      </c>
      <c r="C11" s="22" t="s">
        <v>2</v>
      </c>
      <c r="D11" s="16" t="s">
        <v>33</v>
      </c>
      <c r="E11" s="16" t="s">
        <v>33</v>
      </c>
      <c r="F11" s="16"/>
      <c r="G11" s="16">
        <v>365</v>
      </c>
      <c r="H11" s="16">
        <v>8564</v>
      </c>
      <c r="I11" s="16" t="s">
        <v>26</v>
      </c>
      <c r="J11" s="28" t="s">
        <v>32</v>
      </c>
      <c r="K11" s="17" t="s">
        <v>18</v>
      </c>
      <c r="L11" s="18" t="s">
        <v>35</v>
      </c>
    </row>
    <row r="12" spans="2:13" s="19" customFormat="1" ht="32.25" thickBot="1" x14ac:dyDescent="0.3">
      <c r="B12" s="15">
        <v>8</v>
      </c>
      <c r="C12" s="22" t="s">
        <v>2</v>
      </c>
      <c r="D12" s="16" t="s">
        <v>36</v>
      </c>
      <c r="E12" s="16" t="s">
        <v>36</v>
      </c>
      <c r="F12" s="16">
        <v>6579</v>
      </c>
      <c r="G12" s="16">
        <v>320</v>
      </c>
      <c r="H12" s="16">
        <v>6547</v>
      </c>
      <c r="I12" s="16" t="s">
        <v>38</v>
      </c>
      <c r="J12" s="28" t="s">
        <v>41</v>
      </c>
      <c r="K12" s="17" t="s">
        <v>18</v>
      </c>
      <c r="L12" s="18" t="s">
        <v>39</v>
      </c>
    </row>
    <row r="13" spans="2:13" s="4" customFormat="1" ht="32.25" thickBot="1" x14ac:dyDescent="0.3">
      <c r="B13" s="15">
        <v>9</v>
      </c>
      <c r="C13" s="22" t="s">
        <v>2</v>
      </c>
      <c r="D13" s="16" t="s">
        <v>37</v>
      </c>
      <c r="E13" s="16" t="s">
        <v>37</v>
      </c>
      <c r="F13" s="16">
        <v>342</v>
      </c>
      <c r="G13" s="16">
        <v>282</v>
      </c>
      <c r="H13" s="16">
        <v>342</v>
      </c>
      <c r="I13" s="16" t="s">
        <v>38</v>
      </c>
      <c r="J13" s="28" t="s">
        <v>41</v>
      </c>
      <c r="K13" s="17" t="s">
        <v>18</v>
      </c>
      <c r="L13" s="18" t="s">
        <v>40</v>
      </c>
    </row>
    <row r="14" spans="2:13" s="19" customFormat="1" ht="48" thickBot="1" x14ac:dyDescent="0.3">
      <c r="B14" s="15">
        <v>10</v>
      </c>
      <c r="C14" s="22" t="s">
        <v>2</v>
      </c>
      <c r="D14" s="16" t="s">
        <v>42</v>
      </c>
      <c r="E14" s="16" t="s">
        <v>42</v>
      </c>
      <c r="F14" s="16">
        <v>1202</v>
      </c>
      <c r="G14" s="16">
        <v>350</v>
      </c>
      <c r="H14" s="16">
        <v>1205</v>
      </c>
      <c r="I14" s="16" t="s">
        <v>44</v>
      </c>
      <c r="J14" s="28" t="s">
        <v>47</v>
      </c>
      <c r="K14" s="17" t="s">
        <v>18</v>
      </c>
      <c r="L14" s="18" t="s">
        <v>45</v>
      </c>
    </row>
    <row r="15" spans="2:13" s="19" customFormat="1" ht="48" thickBot="1" x14ac:dyDescent="0.3">
      <c r="B15" s="15">
        <v>11</v>
      </c>
      <c r="C15" s="22" t="s">
        <v>2</v>
      </c>
      <c r="D15" s="16" t="s">
        <v>43</v>
      </c>
      <c r="E15" s="16" t="s">
        <v>43</v>
      </c>
      <c r="F15" s="16">
        <v>706</v>
      </c>
      <c r="G15" s="16">
        <v>706</v>
      </c>
      <c r="H15" s="16">
        <v>704</v>
      </c>
      <c r="I15" s="16" t="s">
        <v>44</v>
      </c>
      <c r="J15" s="28" t="s">
        <v>47</v>
      </c>
      <c r="K15" s="17" t="s">
        <v>18</v>
      </c>
      <c r="L15" s="26" t="s">
        <v>46</v>
      </c>
    </row>
    <row r="16" spans="2:13" s="19" customFormat="1" ht="48" thickBot="1" x14ac:dyDescent="0.3">
      <c r="B16" s="15">
        <v>12</v>
      </c>
      <c r="C16" s="22" t="s">
        <v>2</v>
      </c>
      <c r="D16" s="16" t="s">
        <v>48</v>
      </c>
      <c r="E16" s="16" t="s">
        <v>48</v>
      </c>
      <c r="F16" s="16">
        <v>6785</v>
      </c>
      <c r="G16" s="16">
        <v>2000</v>
      </c>
      <c r="H16" s="16">
        <v>6791</v>
      </c>
      <c r="I16" s="16" t="s">
        <v>44</v>
      </c>
      <c r="J16" s="28" t="s">
        <v>53</v>
      </c>
      <c r="K16" s="17" t="s">
        <v>18</v>
      </c>
      <c r="L16" s="18" t="s">
        <v>60</v>
      </c>
    </row>
    <row r="17" spans="2:12" s="19" customFormat="1" ht="48" thickBot="1" x14ac:dyDescent="0.3">
      <c r="B17" s="15">
        <v>13</v>
      </c>
      <c r="C17" s="22" t="s">
        <v>2</v>
      </c>
      <c r="D17" s="16" t="s">
        <v>49</v>
      </c>
      <c r="E17" s="16" t="s">
        <v>49</v>
      </c>
      <c r="F17" s="16">
        <v>4003</v>
      </c>
      <c r="G17" s="16">
        <v>1225</v>
      </c>
      <c r="H17" s="16">
        <v>3975</v>
      </c>
      <c r="I17" s="16" t="s">
        <v>44</v>
      </c>
      <c r="J17" s="28" t="s">
        <v>54</v>
      </c>
      <c r="K17" s="17" t="s">
        <v>18</v>
      </c>
      <c r="L17" s="18" t="s">
        <v>61</v>
      </c>
    </row>
    <row r="18" spans="2:12" s="19" customFormat="1" ht="48" thickBot="1" x14ac:dyDescent="0.3">
      <c r="B18" s="11">
        <v>14</v>
      </c>
      <c r="C18" s="21" t="s">
        <v>2</v>
      </c>
      <c r="D18" s="5" t="s">
        <v>50</v>
      </c>
      <c r="E18" s="5" t="s">
        <v>50</v>
      </c>
      <c r="F18" s="5">
        <f>1838+2384</f>
        <v>4222</v>
      </c>
      <c r="G18" s="5">
        <v>215</v>
      </c>
      <c r="H18" s="5">
        <v>4221</v>
      </c>
      <c r="I18" s="5" t="s">
        <v>44</v>
      </c>
      <c r="J18" s="29" t="s">
        <v>55</v>
      </c>
      <c r="K18" s="32" t="s">
        <v>18</v>
      </c>
      <c r="L18" s="8" t="s">
        <v>62</v>
      </c>
    </row>
    <row r="19" spans="2:12" s="19" customFormat="1" ht="48" thickBot="1" x14ac:dyDescent="0.3">
      <c r="B19" s="15">
        <v>15</v>
      </c>
      <c r="C19" s="22" t="s">
        <v>2</v>
      </c>
      <c r="D19" s="16" t="s">
        <v>51</v>
      </c>
      <c r="E19" s="16" t="s">
        <v>51</v>
      </c>
      <c r="F19" s="16">
        <v>8718</v>
      </c>
      <c r="G19" s="16">
        <v>2175</v>
      </c>
      <c r="H19" s="16">
        <v>8774</v>
      </c>
      <c r="I19" s="16" t="s">
        <v>44</v>
      </c>
      <c r="J19" s="28" t="s">
        <v>56</v>
      </c>
      <c r="K19" s="17" t="s">
        <v>18</v>
      </c>
      <c r="L19" s="18" t="s">
        <v>52</v>
      </c>
    </row>
    <row r="20" spans="2:12" s="4" customFormat="1" ht="48" thickBot="1" x14ac:dyDescent="0.3">
      <c r="B20" s="12">
        <v>16</v>
      </c>
      <c r="C20" s="20" t="s">
        <v>2</v>
      </c>
      <c r="D20" s="6" t="s">
        <v>57</v>
      </c>
      <c r="E20" s="6" t="s">
        <v>57</v>
      </c>
      <c r="F20" s="6">
        <v>1440</v>
      </c>
      <c r="G20" s="6">
        <v>250</v>
      </c>
      <c r="H20" s="6">
        <v>1444</v>
      </c>
      <c r="I20" s="6" t="s">
        <v>44</v>
      </c>
      <c r="J20" s="30" t="s">
        <v>58</v>
      </c>
      <c r="K20" s="13" t="s">
        <v>18</v>
      </c>
      <c r="L20" s="10" t="s">
        <v>59</v>
      </c>
    </row>
    <row r="21" spans="2:12" s="4" customFormat="1" ht="32.25" thickBot="1" x14ac:dyDescent="0.3">
      <c r="B21" s="11">
        <v>17</v>
      </c>
      <c r="C21" s="21" t="s">
        <v>2</v>
      </c>
      <c r="D21" s="5" t="s">
        <v>63</v>
      </c>
      <c r="E21" s="5" t="s">
        <v>63</v>
      </c>
      <c r="F21" s="5">
        <v>2956</v>
      </c>
      <c r="G21" s="5">
        <v>1650</v>
      </c>
      <c r="H21" s="5">
        <v>2968</v>
      </c>
      <c r="I21" s="5" t="s">
        <v>64</v>
      </c>
      <c r="J21" s="29" t="s">
        <v>73</v>
      </c>
      <c r="K21" s="32" t="s">
        <v>18</v>
      </c>
      <c r="L21" s="8" t="s">
        <v>65</v>
      </c>
    </row>
    <row r="22" spans="2:12" s="4" customFormat="1" ht="32.25" thickBot="1" x14ac:dyDescent="0.3">
      <c r="B22" s="15">
        <v>18</v>
      </c>
      <c r="C22" s="22" t="s">
        <v>2</v>
      </c>
      <c r="D22" s="16" t="s">
        <v>66</v>
      </c>
      <c r="E22" s="16"/>
      <c r="F22" s="16"/>
      <c r="G22" s="16">
        <f>450+450</f>
        <v>900</v>
      </c>
      <c r="H22" s="16"/>
      <c r="I22" s="16" t="s">
        <v>64</v>
      </c>
      <c r="J22" s="28" t="s">
        <v>73</v>
      </c>
      <c r="K22" s="17" t="s">
        <v>18</v>
      </c>
      <c r="L22" s="26"/>
    </row>
    <row r="23" spans="2:12" s="4" customFormat="1" ht="120.75" thickBot="1" x14ac:dyDescent="0.3">
      <c r="B23" s="15">
        <v>19</v>
      </c>
      <c r="C23" s="22" t="s">
        <v>2</v>
      </c>
      <c r="D23" s="16" t="s">
        <v>67</v>
      </c>
      <c r="E23" s="16" t="s">
        <v>74</v>
      </c>
      <c r="F23" s="16"/>
      <c r="G23" s="16">
        <f>262+263</f>
        <v>525</v>
      </c>
      <c r="H23" s="16">
        <v>306</v>
      </c>
      <c r="I23" s="16" t="s">
        <v>64</v>
      </c>
      <c r="J23" s="28" t="s">
        <v>73</v>
      </c>
      <c r="K23" s="17" t="s">
        <v>18</v>
      </c>
      <c r="L23" s="18" t="s">
        <v>75</v>
      </c>
    </row>
    <row r="24" spans="2:12" s="4" customFormat="1" ht="120.75" thickBot="1" x14ac:dyDescent="0.3">
      <c r="B24" s="34">
        <v>20</v>
      </c>
      <c r="C24" s="15" t="s">
        <v>2</v>
      </c>
      <c r="D24" s="16" t="s">
        <v>68</v>
      </c>
      <c r="E24" s="16" t="s">
        <v>71</v>
      </c>
      <c r="F24" s="16"/>
      <c r="G24" s="16">
        <v>1930</v>
      </c>
      <c r="H24" s="16">
        <v>1471</v>
      </c>
      <c r="I24" s="16" t="s">
        <v>64</v>
      </c>
      <c r="J24" s="28" t="s">
        <v>73</v>
      </c>
      <c r="K24" s="17" t="s">
        <v>18</v>
      </c>
      <c r="L24" s="18" t="s">
        <v>72</v>
      </c>
    </row>
    <row r="25" spans="2:12" s="4" customFormat="1" ht="32.25" thickBot="1" x14ac:dyDescent="0.3">
      <c r="B25" s="12">
        <v>21</v>
      </c>
      <c r="C25" s="20" t="s">
        <v>2</v>
      </c>
      <c r="D25" s="6" t="s">
        <v>69</v>
      </c>
      <c r="E25" s="6" t="s">
        <v>69</v>
      </c>
      <c r="F25" s="6"/>
      <c r="G25" s="6">
        <v>310</v>
      </c>
      <c r="H25" s="6">
        <v>3269</v>
      </c>
      <c r="I25" s="6" t="s">
        <v>64</v>
      </c>
      <c r="J25" s="30" t="s">
        <v>73</v>
      </c>
      <c r="K25" s="13" t="s">
        <v>18</v>
      </c>
      <c r="L25" s="10" t="s">
        <v>70</v>
      </c>
    </row>
    <row r="26" spans="2:12" s="19" customFormat="1" ht="32.25" thickBot="1" x14ac:dyDescent="0.3">
      <c r="B26" s="15">
        <v>22</v>
      </c>
      <c r="C26" s="22" t="s">
        <v>2</v>
      </c>
      <c r="D26" s="39" t="s">
        <v>76</v>
      </c>
      <c r="E26" s="39" t="s">
        <v>76</v>
      </c>
      <c r="F26" s="16">
        <v>1046</v>
      </c>
      <c r="G26" s="16"/>
      <c r="H26" s="16">
        <v>1078</v>
      </c>
      <c r="I26" s="16" t="s">
        <v>78</v>
      </c>
      <c r="J26" s="28" t="s">
        <v>84</v>
      </c>
      <c r="K26" s="17" t="s">
        <v>18</v>
      </c>
      <c r="L26" s="18" t="s">
        <v>79</v>
      </c>
    </row>
    <row r="27" spans="2:12" s="1" customFormat="1" ht="32.25" thickBot="1" x14ac:dyDescent="0.3">
      <c r="B27" s="15">
        <v>23</v>
      </c>
      <c r="C27" s="22" t="s">
        <v>2</v>
      </c>
      <c r="D27" s="39" t="s">
        <v>77</v>
      </c>
      <c r="E27" s="39" t="s">
        <v>81</v>
      </c>
      <c r="F27" s="16">
        <v>4086</v>
      </c>
      <c r="G27" s="16">
        <v>1580</v>
      </c>
      <c r="H27" s="16">
        <v>1097</v>
      </c>
      <c r="I27" s="16" t="s">
        <v>80</v>
      </c>
      <c r="J27" s="28" t="s">
        <v>83</v>
      </c>
      <c r="K27" s="17" t="s">
        <v>18</v>
      </c>
      <c r="L27" s="18" t="s">
        <v>82</v>
      </c>
    </row>
    <row r="28" spans="2:12" s="19" customFormat="1" ht="48" thickBot="1" x14ac:dyDescent="0.3">
      <c r="B28" s="15">
        <v>24</v>
      </c>
      <c r="C28" s="22" t="s">
        <v>2</v>
      </c>
      <c r="D28" s="39" t="s">
        <v>85</v>
      </c>
      <c r="E28" s="16" t="s">
        <v>85</v>
      </c>
      <c r="F28" s="16">
        <v>24227</v>
      </c>
      <c r="G28" s="16">
        <v>9800</v>
      </c>
      <c r="H28" s="16">
        <v>22870</v>
      </c>
      <c r="I28" s="28" t="s">
        <v>86</v>
      </c>
      <c r="J28" s="28" t="s">
        <v>87</v>
      </c>
      <c r="K28" s="17" t="s">
        <v>18</v>
      </c>
      <c r="L28" s="18" t="s">
        <v>106</v>
      </c>
    </row>
    <row r="29" spans="2:12" s="19" customFormat="1" ht="48" thickBot="1" x14ac:dyDescent="0.3">
      <c r="B29" s="40">
        <v>25</v>
      </c>
      <c r="C29" s="21" t="s">
        <v>2</v>
      </c>
      <c r="D29" s="41" t="s">
        <v>88</v>
      </c>
      <c r="E29" s="41" t="s">
        <v>88</v>
      </c>
      <c r="F29" s="36">
        <v>5714</v>
      </c>
      <c r="G29" s="36">
        <v>1580</v>
      </c>
      <c r="H29" s="36">
        <v>5701</v>
      </c>
      <c r="I29" s="42" t="s">
        <v>102</v>
      </c>
      <c r="J29" s="42" t="s">
        <v>103</v>
      </c>
      <c r="K29" s="32" t="s">
        <v>18</v>
      </c>
      <c r="L29" s="8" t="s">
        <v>104</v>
      </c>
    </row>
    <row r="30" spans="2:12" s="19" customFormat="1" ht="48" thickBot="1" x14ac:dyDescent="0.3">
      <c r="B30" s="11">
        <v>26</v>
      </c>
      <c r="C30" s="21" t="s">
        <v>2</v>
      </c>
      <c r="D30" s="43" t="s">
        <v>89</v>
      </c>
      <c r="E30" s="43" t="s">
        <v>89</v>
      </c>
      <c r="F30" s="5">
        <v>35253</v>
      </c>
      <c r="G30" s="5">
        <v>2060</v>
      </c>
      <c r="H30" s="5">
        <v>35693</v>
      </c>
      <c r="I30" s="29" t="s">
        <v>102</v>
      </c>
      <c r="J30" s="29" t="s">
        <v>103</v>
      </c>
      <c r="K30" s="32" t="s">
        <v>18</v>
      </c>
      <c r="L30" s="8" t="s">
        <v>105</v>
      </c>
    </row>
    <row r="31" spans="2:12" s="19" customFormat="1" ht="48" thickBot="1" x14ac:dyDescent="0.3">
      <c r="B31" s="15">
        <v>27</v>
      </c>
      <c r="C31" s="22" t="s">
        <v>2</v>
      </c>
      <c r="D31" s="39" t="s">
        <v>90</v>
      </c>
      <c r="E31" s="39" t="s">
        <v>90</v>
      </c>
      <c r="F31" s="16">
        <v>25468</v>
      </c>
      <c r="G31" s="16">
        <v>625</v>
      </c>
      <c r="H31" s="16">
        <v>25604</v>
      </c>
      <c r="I31" s="28" t="s">
        <v>102</v>
      </c>
      <c r="J31" s="28" t="s">
        <v>103</v>
      </c>
      <c r="K31" s="17" t="s">
        <v>18</v>
      </c>
      <c r="L31" s="18" t="s">
        <v>108</v>
      </c>
    </row>
    <row r="32" spans="2:12" s="19" customFormat="1" ht="48" thickBot="1" x14ac:dyDescent="0.3">
      <c r="B32" s="15">
        <v>28</v>
      </c>
      <c r="C32" s="22" t="s">
        <v>2</v>
      </c>
      <c r="D32" s="39" t="s">
        <v>91</v>
      </c>
      <c r="E32" s="39" t="s">
        <v>91</v>
      </c>
      <c r="F32" s="16">
        <f>94500+181219</f>
        <v>275719</v>
      </c>
      <c r="G32" s="16">
        <v>3090</v>
      </c>
      <c r="H32" s="16">
        <v>275683</v>
      </c>
      <c r="I32" s="28" t="s">
        <v>102</v>
      </c>
      <c r="J32" s="28" t="s">
        <v>103</v>
      </c>
      <c r="K32" s="17" t="s">
        <v>18</v>
      </c>
      <c r="L32" s="18" t="s">
        <v>107</v>
      </c>
    </row>
    <row r="33" spans="2:12" s="19" customFormat="1" ht="48" thickBot="1" x14ac:dyDescent="0.3">
      <c r="B33" s="38">
        <v>29</v>
      </c>
      <c r="C33" s="35" t="s">
        <v>2</v>
      </c>
      <c r="D33" s="41" t="s">
        <v>92</v>
      </c>
      <c r="E33" s="41" t="s">
        <v>92</v>
      </c>
      <c r="F33" s="36">
        <v>701</v>
      </c>
      <c r="G33" s="36">
        <v>701</v>
      </c>
      <c r="H33" s="36">
        <v>683</v>
      </c>
      <c r="I33" s="42" t="s">
        <v>102</v>
      </c>
      <c r="J33" s="42" t="s">
        <v>103</v>
      </c>
      <c r="K33" s="37" t="s">
        <v>18</v>
      </c>
      <c r="L33" s="44" t="s">
        <v>109</v>
      </c>
    </row>
    <row r="34" spans="2:12" s="19" customFormat="1" ht="48" thickBot="1" x14ac:dyDescent="0.3">
      <c r="B34" s="15">
        <v>30</v>
      </c>
      <c r="C34" s="22" t="s">
        <v>2</v>
      </c>
      <c r="D34" s="39" t="s">
        <v>93</v>
      </c>
      <c r="E34" s="39" t="s">
        <v>93</v>
      </c>
      <c r="F34" s="16">
        <v>970</v>
      </c>
      <c r="G34" s="16">
        <v>410</v>
      </c>
      <c r="H34" s="16">
        <v>967</v>
      </c>
      <c r="I34" s="28" t="s">
        <v>102</v>
      </c>
      <c r="J34" s="28" t="s">
        <v>103</v>
      </c>
      <c r="K34" s="17" t="s">
        <v>18</v>
      </c>
      <c r="L34" s="18" t="s">
        <v>110</v>
      </c>
    </row>
    <row r="35" spans="2:12" s="19" customFormat="1" ht="48" thickBot="1" x14ac:dyDescent="0.3">
      <c r="B35" s="38">
        <v>31</v>
      </c>
      <c r="C35" s="35" t="s">
        <v>2</v>
      </c>
      <c r="D35" s="41" t="s">
        <v>94</v>
      </c>
      <c r="E35" s="41" t="s">
        <v>94</v>
      </c>
      <c r="F35" s="36">
        <v>752</v>
      </c>
      <c r="G35" s="36">
        <v>300</v>
      </c>
      <c r="H35" s="36">
        <v>743</v>
      </c>
      <c r="I35" s="42" t="s">
        <v>102</v>
      </c>
      <c r="J35" s="42" t="s">
        <v>103</v>
      </c>
      <c r="K35" s="37" t="s">
        <v>18</v>
      </c>
      <c r="L35" s="44" t="s">
        <v>111</v>
      </c>
    </row>
    <row r="36" spans="2:12" s="19" customFormat="1" ht="48" thickBot="1" x14ac:dyDescent="0.3">
      <c r="B36" s="15">
        <v>32</v>
      </c>
      <c r="C36" s="22" t="s">
        <v>2</v>
      </c>
      <c r="D36" s="39" t="s">
        <v>95</v>
      </c>
      <c r="E36" s="39" t="s">
        <v>95</v>
      </c>
      <c r="F36" s="16">
        <v>628</v>
      </c>
      <c r="G36" s="16">
        <v>453</v>
      </c>
      <c r="H36" s="16">
        <v>623</v>
      </c>
      <c r="I36" s="28" t="s">
        <v>102</v>
      </c>
      <c r="J36" s="28" t="s">
        <v>103</v>
      </c>
      <c r="K36" s="17" t="s">
        <v>18</v>
      </c>
      <c r="L36" s="18" t="s">
        <v>112</v>
      </c>
    </row>
    <row r="37" spans="2:12" s="19" customFormat="1" ht="48" thickBot="1" x14ac:dyDescent="0.3">
      <c r="B37" s="38">
        <v>33</v>
      </c>
      <c r="C37" s="35" t="s">
        <v>2</v>
      </c>
      <c r="D37" s="41" t="s">
        <v>96</v>
      </c>
      <c r="E37" s="41" t="s">
        <v>96</v>
      </c>
      <c r="F37" s="36">
        <v>83</v>
      </c>
      <c r="G37" s="36">
        <v>83</v>
      </c>
      <c r="H37" s="36">
        <v>83</v>
      </c>
      <c r="I37" s="42" t="s">
        <v>102</v>
      </c>
      <c r="J37" s="42" t="s">
        <v>103</v>
      </c>
      <c r="K37" s="37" t="s">
        <v>18</v>
      </c>
      <c r="L37" s="45" t="s">
        <v>46</v>
      </c>
    </row>
    <row r="38" spans="2:12" s="19" customFormat="1" ht="48" thickBot="1" x14ac:dyDescent="0.3">
      <c r="B38" s="15">
        <v>34</v>
      </c>
      <c r="C38" s="22" t="s">
        <v>2</v>
      </c>
      <c r="D38" s="16" t="s">
        <v>97</v>
      </c>
      <c r="E38" s="16" t="s">
        <v>97</v>
      </c>
      <c r="F38" s="16">
        <v>35625</v>
      </c>
      <c r="G38" s="16">
        <v>1550</v>
      </c>
      <c r="H38" s="16">
        <v>35624</v>
      </c>
      <c r="I38" s="28" t="s">
        <v>102</v>
      </c>
      <c r="J38" s="28" t="s">
        <v>103</v>
      </c>
      <c r="K38" s="17" t="s">
        <v>18</v>
      </c>
      <c r="L38" s="18" t="s">
        <v>114</v>
      </c>
    </row>
    <row r="39" spans="2:12" s="19" customFormat="1" ht="48" thickBot="1" x14ac:dyDescent="0.3">
      <c r="B39" s="38">
        <v>35</v>
      </c>
      <c r="C39" s="35" t="s">
        <v>2</v>
      </c>
      <c r="D39" s="36" t="s">
        <v>98</v>
      </c>
      <c r="E39" s="36" t="s">
        <v>98</v>
      </c>
      <c r="F39" s="36">
        <v>2444</v>
      </c>
      <c r="G39" s="36">
        <v>1419</v>
      </c>
      <c r="H39" s="36">
        <v>2430</v>
      </c>
      <c r="I39" s="42" t="s">
        <v>102</v>
      </c>
      <c r="J39" s="42" t="s">
        <v>103</v>
      </c>
      <c r="K39" s="37" t="s">
        <v>18</v>
      </c>
      <c r="L39" s="44" t="s">
        <v>113</v>
      </c>
    </row>
    <row r="40" spans="2:12" s="19" customFormat="1" ht="48" thickBot="1" x14ac:dyDescent="0.3">
      <c r="B40" s="15">
        <v>36</v>
      </c>
      <c r="C40" s="22" t="s">
        <v>2</v>
      </c>
      <c r="D40" s="16" t="s">
        <v>99</v>
      </c>
      <c r="E40" s="16" t="s">
        <v>99</v>
      </c>
      <c r="F40" s="16">
        <v>113759</v>
      </c>
      <c r="G40" s="16">
        <v>3325</v>
      </c>
      <c r="H40" s="16">
        <v>113562</v>
      </c>
      <c r="I40" s="28" t="s">
        <v>102</v>
      </c>
      <c r="J40" s="28" t="s">
        <v>103</v>
      </c>
      <c r="K40" s="17" t="s">
        <v>18</v>
      </c>
      <c r="L40" s="18" t="s">
        <v>115</v>
      </c>
    </row>
    <row r="41" spans="2:12" s="19" customFormat="1" ht="48" thickBot="1" x14ac:dyDescent="0.3">
      <c r="B41" s="15">
        <v>37</v>
      </c>
      <c r="C41" s="22" t="s">
        <v>2</v>
      </c>
      <c r="D41" s="16" t="s">
        <v>100</v>
      </c>
      <c r="E41" s="16" t="s">
        <v>100</v>
      </c>
      <c r="F41" s="16">
        <v>671</v>
      </c>
      <c r="G41" s="16">
        <v>98</v>
      </c>
      <c r="H41" s="16">
        <v>657</v>
      </c>
      <c r="I41" s="28" t="s">
        <v>102</v>
      </c>
      <c r="J41" s="28" t="s">
        <v>103</v>
      </c>
      <c r="K41" s="17" t="s">
        <v>18</v>
      </c>
      <c r="L41" s="18" t="s">
        <v>116</v>
      </c>
    </row>
    <row r="42" spans="2:12" s="19" customFormat="1" ht="48" thickBot="1" x14ac:dyDescent="0.3">
      <c r="B42" s="12">
        <v>38</v>
      </c>
      <c r="C42" s="20" t="s">
        <v>2</v>
      </c>
      <c r="D42" s="6" t="s">
        <v>101</v>
      </c>
      <c r="E42" s="6" t="s">
        <v>101</v>
      </c>
      <c r="F42" s="6">
        <v>13172</v>
      </c>
      <c r="G42" s="6">
        <v>1580</v>
      </c>
      <c r="H42" s="6">
        <v>13156</v>
      </c>
      <c r="I42" s="30" t="s">
        <v>102</v>
      </c>
      <c r="J42" s="30" t="s">
        <v>103</v>
      </c>
      <c r="K42" s="13" t="s">
        <v>18</v>
      </c>
      <c r="L42" s="10" t="s">
        <v>117</v>
      </c>
    </row>
    <row r="43" spans="2:12" ht="16.5" thickBot="1" x14ac:dyDescent="0.3">
      <c r="B43" s="14">
        <v>39</v>
      </c>
      <c r="C43" s="20" t="s">
        <v>2</v>
      </c>
      <c r="D43" s="14" t="s">
        <v>122</v>
      </c>
      <c r="E43" s="14"/>
      <c r="F43" s="14"/>
      <c r="G43" s="14"/>
      <c r="H43" s="14"/>
      <c r="I43" s="14"/>
      <c r="J43" s="14"/>
      <c r="K43" s="14"/>
      <c r="L43" s="14"/>
    </row>
    <row r="44" spans="2:12" ht="16.5" thickBot="1" x14ac:dyDescent="0.3">
      <c r="B44" s="3">
        <v>40</v>
      </c>
      <c r="C44" s="22" t="s">
        <v>2</v>
      </c>
      <c r="D44" s="3" t="s">
        <v>118</v>
      </c>
      <c r="E44" s="3"/>
      <c r="F44" s="3"/>
      <c r="G44" s="3"/>
      <c r="H44" s="3"/>
      <c r="I44" s="3"/>
      <c r="J44" s="3"/>
      <c r="K44" s="3"/>
      <c r="L44" s="3"/>
    </row>
    <row r="45" spans="2:12" ht="15.75" x14ac:dyDescent="0.25">
      <c r="B45" s="14">
        <v>41</v>
      </c>
      <c r="C45" s="21" t="s">
        <v>2</v>
      </c>
      <c r="D45" s="3" t="s">
        <v>119</v>
      </c>
      <c r="E45" s="3"/>
      <c r="F45" s="3"/>
      <c r="G45" s="3"/>
      <c r="H45" s="3"/>
      <c r="I45" s="3"/>
      <c r="J45" s="3"/>
      <c r="K45" s="3"/>
      <c r="L45" s="3"/>
    </row>
    <row r="46" spans="2:12" ht="15.75" x14ac:dyDescent="0.25">
      <c r="B46" s="3"/>
      <c r="C46" s="3"/>
      <c r="D46" s="3" t="s">
        <v>120</v>
      </c>
      <c r="E46" s="3"/>
      <c r="F46" s="3"/>
      <c r="G46" s="3"/>
      <c r="H46" s="3"/>
      <c r="I46" s="3"/>
      <c r="J46" s="3"/>
      <c r="K46" s="3"/>
      <c r="L46" s="3"/>
    </row>
    <row r="47" spans="2:12" ht="15.75" x14ac:dyDescent="0.25">
      <c r="B47" s="3"/>
      <c r="C47" s="3"/>
      <c r="D47" s="3" t="s">
        <v>121</v>
      </c>
      <c r="E47" s="3"/>
      <c r="F47" s="3"/>
      <c r="G47" s="3"/>
      <c r="H47" s="3"/>
      <c r="I47" s="3"/>
      <c r="J47" s="3"/>
      <c r="K47" s="3"/>
      <c r="L47" s="3"/>
    </row>
    <row r="48" spans="2:12" ht="15.75" x14ac:dyDescent="0.25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54" spans="6:6" x14ac:dyDescent="0.25">
      <c r="F54" s="2">
        <f>38*2</f>
        <v>76</v>
      </c>
    </row>
  </sheetData>
  <mergeCells count="10">
    <mergeCell ref="B2:L2"/>
    <mergeCell ref="B5:B6"/>
    <mergeCell ref="J5:J6"/>
    <mergeCell ref="K5:K6"/>
    <mergeCell ref="L5:L6"/>
    <mergeCell ref="C5:C6"/>
    <mergeCell ref="D5:D6"/>
    <mergeCell ref="F5:F6"/>
    <mergeCell ref="G5:G6"/>
    <mergeCell ref="I5:I6"/>
  </mergeCells>
  <phoneticPr fontId="5" type="noConversion"/>
  <hyperlinks>
    <hyperlink ref="J4" r:id="rId1" display="file:///W:/NEWS-Server/NEW-SERVER/21.%20IDENTIFIKIMI%20I%20PRONAVE/SKENIMET/Skanime%20Gjakove%20Dollc/Gjakov%C3%AB%20-%20Dollc%20Segmenti%20Mrasor-Rahovec/20260518085310367.pdf" xr:uid="{C3C26D2C-1B8D-4121-B445-0E32F848556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2026-05-21T06:20:05Z</dcterms:modified>
</cp:coreProperties>
</file>